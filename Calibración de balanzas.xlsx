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rt\OneDrive\Desktop\Balanza - BrazoCafetero\"/>
    </mc:Choice>
  </mc:AlternateContent>
  <xr:revisionPtr revIDLastSave="0" documentId="13_ncr:1_{9342517E-935E-4502-9B93-8002CD4F15F1}" xr6:coauthVersionLast="47" xr6:coauthVersionMax="47" xr10:uidLastSave="{00000000-0000-0000-0000-000000000000}"/>
  <bookViews>
    <workbookView xWindow="-108" yWindow="-108" windowWidth="23256" windowHeight="12576" xr2:uid="{465BEFD2-93AD-47E3-BBF6-0C12DB725B49}"/>
  </bookViews>
  <sheets>
    <sheet name="OP1" sheetId="2" r:id="rId1"/>
    <sheet name="OP2" sheetId="1" state="hidden" r:id="rId2"/>
    <sheet name="Err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K11" i="3"/>
  <c r="K10" i="3"/>
  <c r="K9" i="3"/>
  <c r="K8" i="3"/>
  <c r="K7" i="3"/>
  <c r="K6" i="3"/>
  <c r="K5" i="3"/>
  <c r="F6" i="3"/>
  <c r="F7" i="3"/>
  <c r="F8" i="3"/>
  <c r="F9" i="3"/>
  <c r="F10" i="3"/>
  <c r="F11" i="3"/>
  <c r="F12" i="3"/>
  <c r="F5" i="3"/>
  <c r="J12" i="3"/>
  <c r="J11" i="3"/>
  <c r="J10" i="3"/>
  <c r="J9" i="3"/>
  <c r="J8" i="3"/>
  <c r="J7" i="3"/>
  <c r="J6" i="3"/>
  <c r="J5" i="3"/>
  <c r="E6" i="3"/>
  <c r="E7" i="3"/>
  <c r="E8" i="3"/>
  <c r="E9" i="3"/>
  <c r="E10" i="3"/>
  <c r="E11" i="3"/>
  <c r="E12" i="3"/>
  <c r="E5" i="3"/>
  <c r="K15" i="2"/>
  <c r="K14" i="2"/>
  <c r="K8" i="2"/>
  <c r="K7" i="2"/>
  <c r="J17" i="1"/>
  <c r="I17" i="1"/>
  <c r="H17" i="1"/>
  <c r="G17" i="1"/>
  <c r="F17" i="1"/>
  <c r="E17" i="1"/>
  <c r="D17" i="1"/>
  <c r="C17" i="1"/>
  <c r="J19" i="1" s="1"/>
  <c r="J10" i="1"/>
  <c r="D8" i="1"/>
  <c r="E8" i="1"/>
  <c r="F8" i="1"/>
  <c r="G8" i="1"/>
  <c r="H8" i="1"/>
  <c r="I8" i="1"/>
  <c r="J8" i="1"/>
  <c r="C8" i="1"/>
</calcChain>
</file>

<file path=xl/sharedStrings.xml><?xml version="1.0" encoding="utf-8"?>
<sst xmlns="http://schemas.openxmlformats.org/spreadsheetml/2006/main" count="49" uniqueCount="25">
  <si>
    <t>Scale</t>
  </si>
  <si>
    <t>Balanza 1</t>
  </si>
  <si>
    <t>(La que compramos)</t>
  </si>
  <si>
    <t>measured/real</t>
  </si>
  <si>
    <t>measured</t>
  </si>
  <si>
    <t>real</t>
  </si>
  <si>
    <t>Prom</t>
  </si>
  <si>
    <t>IMPORTANTE</t>
  </si>
  <si>
    <t>LOADCELL_DOUT_PIN</t>
  </si>
  <si>
    <t>LOADCELL_SCK_PIN</t>
  </si>
  <si>
    <t>Balanza 2</t>
  </si>
  <si>
    <t>GitHub library</t>
  </si>
  <si>
    <t>https://github.com/RobTillaart/HX711</t>
  </si>
  <si>
    <t>OFFSET</t>
  </si>
  <si>
    <t>SCALE_FACTOR</t>
  </si>
  <si>
    <t>MASS</t>
  </si>
  <si>
    <t>AVERAGE</t>
  </si>
  <si>
    <r>
      <t>loadCell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set_offset</t>
    </r>
    <r>
      <rPr>
        <sz val="8"/>
        <color rgb="FFCCCCCC"/>
        <rFont val="Consolas"/>
        <family val="3"/>
      </rPr>
      <t>(OFFSET);</t>
    </r>
  </si>
  <si>
    <r>
      <rPr>
        <sz val="8"/>
        <color rgb="FF9CDCFE"/>
        <rFont val="Consolas"/>
        <family val="3"/>
      </rPr>
      <t>loadCell</t>
    </r>
    <r>
      <rPr>
        <sz val="8"/>
        <color rgb="FFCCCCCC"/>
        <rFont val="Consolas"/>
        <family val="3"/>
      </rPr>
      <t>.</t>
    </r>
    <r>
      <rPr>
        <sz val="8"/>
        <color rgb="FFDCDCAA"/>
        <rFont val="Consolas"/>
        <family val="3"/>
      </rPr>
      <t>set_scale</t>
    </r>
    <r>
      <rPr>
        <sz val="8"/>
        <color rgb="FFCCCCCC"/>
        <rFont val="Consolas"/>
        <family val="3"/>
      </rPr>
      <t>(SCALE_FACTOR);</t>
    </r>
  </si>
  <si>
    <t>Para el pesar los granos de café</t>
  </si>
  <si>
    <t>Para el Chemex</t>
  </si>
  <si>
    <t>Lectura</t>
  </si>
  <si>
    <t>Error</t>
  </si>
  <si>
    <t>%</t>
  </si>
  <si>
    <t>Masa [gr]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</si>
</sst>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rgb="FFCCCCCC"/>
      <name val="Consolas"/>
      <family val="3"/>
    </font>
    <font>
      <sz val="8"/>
      <color theme="1"/>
      <name val="Consolas"/>
      <family val="3"/>
    </font>
    <font>
      <u/>
      <sz val="11"/>
      <color theme="10"/>
      <name val="Aptos Narrow"/>
      <family val="2"/>
      <scheme val="minor"/>
    </font>
    <font>
      <sz val="8"/>
      <color rgb="FF9CDCFE"/>
      <name val="Consolas"/>
      <family val="3"/>
    </font>
    <font>
      <sz val="8"/>
      <color rgb="FFDCDCAA"/>
      <name val="Consolas"/>
      <family val="3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4" fillId="0" borderId="0" xfId="1"/>
    <xf numFmtId="0" fontId="0" fillId="4" borderId="1" xfId="0" applyFill="1" applyBorder="1"/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7" fillId="6" borderId="1" xfId="0" applyFont="1" applyFill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0" fillId="7" borderId="0" xfId="0" applyFill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9" fillId="0" borderId="0" xfId="0" applyFont="1"/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1" xfId="0" applyFill="1" applyBorder="1"/>
    <xf numFmtId="9" fontId="0" fillId="0" borderId="1" xfId="2" applyFont="1" applyBorder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556260</xdr:colOff>
      <xdr:row>3</xdr:row>
      <xdr:rowOff>45720</xdr:rowOff>
    </xdr:from>
    <xdr:to>
      <xdr:col>26</xdr:col>
      <xdr:colOff>271661</xdr:colOff>
      <xdr:row>15</xdr:row>
      <xdr:rowOff>32689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82A44F-ECA3-01A3-76C5-5C410CB29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1460" y="594360"/>
          <a:ext cx="8249801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RobTillaart/HX7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31C6-8BA2-431C-B335-337532E8CB8B}">
  <dimension ref="B2:P15"/>
  <sheetViews>
    <sheetView tabSelected="1" workbookViewId="0">
      <selection activeCell="G22" sqref="G22"/>
    </sheetView>
  </sheetViews>
  <sheetFormatPr defaultRowHeight="14.4" x14ac:dyDescent="0.3"/>
  <cols>
    <col min="2" max="2" width="10.109375" bestFit="1" customWidth="1"/>
    <col min="3" max="10" width="9.33203125" bestFit="1" customWidth="1"/>
  </cols>
  <sheetData>
    <row r="2" spans="2:16" x14ac:dyDescent="0.3">
      <c r="B2" s="19" t="s">
        <v>0</v>
      </c>
      <c r="C2" s="20" t="s">
        <v>3</v>
      </c>
      <c r="D2" s="20"/>
      <c r="H2" s="10" t="s">
        <v>7</v>
      </c>
      <c r="I2" s="11"/>
      <c r="J2" s="12" t="s">
        <v>8</v>
      </c>
      <c r="K2" s="12"/>
      <c r="L2" s="5">
        <v>4</v>
      </c>
    </row>
    <row r="3" spans="2:16" x14ac:dyDescent="0.3">
      <c r="J3" s="12" t="s">
        <v>9</v>
      </c>
      <c r="K3" s="12"/>
      <c r="L3" s="5">
        <v>5</v>
      </c>
    </row>
    <row r="4" spans="2:16" x14ac:dyDescent="0.3">
      <c r="B4" s="21" t="s">
        <v>1</v>
      </c>
      <c r="C4" s="19"/>
    </row>
    <row r="6" spans="2:16" x14ac:dyDescent="0.3">
      <c r="B6" s="6" t="s">
        <v>15</v>
      </c>
      <c r="C6" s="6">
        <v>200</v>
      </c>
      <c r="D6" s="6">
        <v>100</v>
      </c>
      <c r="E6" s="6">
        <v>50</v>
      </c>
      <c r="F6" s="6">
        <v>20</v>
      </c>
      <c r="G6" s="6">
        <v>10</v>
      </c>
      <c r="H6" s="6">
        <v>5</v>
      </c>
      <c r="I6" s="6">
        <v>2</v>
      </c>
      <c r="J6" s="6">
        <v>1</v>
      </c>
      <c r="K6" s="7" t="s">
        <v>16</v>
      </c>
    </row>
    <row r="7" spans="2:16" x14ac:dyDescent="0.3">
      <c r="B7" s="6" t="s">
        <v>13</v>
      </c>
      <c r="C7" s="16">
        <v>4294906365</v>
      </c>
      <c r="D7" s="16">
        <v>4294906544</v>
      </c>
      <c r="E7" s="16">
        <v>4294906523</v>
      </c>
      <c r="F7" s="16">
        <v>4294906786</v>
      </c>
      <c r="G7" s="16">
        <v>4294906629</v>
      </c>
      <c r="H7" s="16">
        <v>4294906785</v>
      </c>
      <c r="I7" s="16">
        <v>4294906791</v>
      </c>
      <c r="J7" s="16">
        <v>4294906535</v>
      </c>
      <c r="K7" s="7">
        <f>AVERAGE(C7:J7)</f>
        <v>4294906619.75</v>
      </c>
      <c r="M7" s="13" t="s">
        <v>17</v>
      </c>
      <c r="N7" s="13"/>
      <c r="O7" s="13"/>
    </row>
    <row r="8" spans="2:16" x14ac:dyDescent="0.3">
      <c r="B8" s="6" t="s">
        <v>14</v>
      </c>
      <c r="C8" s="17">
        <v>-447.02325400000001</v>
      </c>
      <c r="D8" s="17">
        <v>-448.48748699999999</v>
      </c>
      <c r="E8" s="17">
        <v>-450.33294599999999</v>
      </c>
      <c r="F8" s="17">
        <v>-449.51248099999998</v>
      </c>
      <c r="G8" s="17">
        <v>-448.21017000000001</v>
      </c>
      <c r="H8" s="17">
        <v>-465.67966000000001</v>
      </c>
      <c r="I8" s="17">
        <v>-472.80077999999997</v>
      </c>
      <c r="J8" s="17">
        <v>-437.35156000000001</v>
      </c>
      <c r="K8" s="7">
        <f>AVERAGE(C8:J8)</f>
        <v>-452.42479225000005</v>
      </c>
      <c r="M8" s="8" t="s">
        <v>18</v>
      </c>
      <c r="N8" s="9"/>
      <c r="O8" s="9"/>
    </row>
    <row r="11" spans="2:16" x14ac:dyDescent="0.3">
      <c r="B11" s="21" t="s">
        <v>10</v>
      </c>
      <c r="D11" s="22"/>
      <c r="M11" s="21" t="s">
        <v>1</v>
      </c>
      <c r="N11" s="23" t="s">
        <v>19</v>
      </c>
      <c r="O11" s="24"/>
      <c r="P11" s="25"/>
    </row>
    <row r="12" spans="2:16" x14ac:dyDescent="0.3">
      <c r="M12" s="21" t="s">
        <v>10</v>
      </c>
      <c r="N12" s="23" t="s">
        <v>20</v>
      </c>
      <c r="O12" s="24"/>
      <c r="P12" s="25"/>
    </row>
    <row r="13" spans="2:16" x14ac:dyDescent="0.3">
      <c r="B13" s="6" t="s">
        <v>15</v>
      </c>
      <c r="C13" s="6">
        <v>200</v>
      </c>
      <c r="D13" s="6">
        <v>100</v>
      </c>
      <c r="E13" s="6">
        <v>50</v>
      </c>
      <c r="F13" s="6">
        <v>20</v>
      </c>
      <c r="G13" s="6">
        <v>10</v>
      </c>
      <c r="H13" s="6">
        <v>5</v>
      </c>
      <c r="I13" s="6">
        <v>2</v>
      </c>
      <c r="J13" s="6">
        <v>1</v>
      </c>
      <c r="K13" s="7" t="s">
        <v>16</v>
      </c>
    </row>
    <row r="14" spans="2:16" x14ac:dyDescent="0.3">
      <c r="B14" s="6" t="s">
        <v>13</v>
      </c>
      <c r="C14" s="6">
        <v>0</v>
      </c>
      <c r="D14" s="6">
        <v>0</v>
      </c>
      <c r="E14" s="6">
        <v>0</v>
      </c>
      <c r="F14" s="6">
        <v>0</v>
      </c>
      <c r="G14" s="6"/>
      <c r="H14" s="6">
        <v>0</v>
      </c>
      <c r="I14" s="6">
        <v>0</v>
      </c>
      <c r="J14" s="6">
        <v>0</v>
      </c>
      <c r="K14" s="7">
        <f>AVERAGE(C14:J14)</f>
        <v>0</v>
      </c>
    </row>
    <row r="15" spans="2:16" x14ac:dyDescent="0.3">
      <c r="B15" s="6" t="s">
        <v>14</v>
      </c>
      <c r="C15" s="6"/>
      <c r="D15" s="6"/>
      <c r="E15" s="6"/>
      <c r="F15" s="6"/>
      <c r="G15" s="6"/>
      <c r="H15" s="6"/>
      <c r="I15" s="6"/>
      <c r="J15" s="6">
        <v>0</v>
      </c>
      <c r="K15" s="7">
        <f>AVERAGE(C15:J15)</f>
        <v>0</v>
      </c>
    </row>
  </sheetData>
  <mergeCells count="7">
    <mergeCell ref="N11:P11"/>
    <mergeCell ref="N12:P12"/>
    <mergeCell ref="H2:I2"/>
    <mergeCell ref="J2:K2"/>
    <mergeCell ref="J3:K3"/>
    <mergeCell ref="M7:O7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3745-EEAD-4E11-9E17-0E39DFAD8760}">
  <dimension ref="B2:P19"/>
  <sheetViews>
    <sheetView topLeftCell="A7" workbookViewId="0">
      <selection activeCell="L27" sqref="L27"/>
    </sheetView>
  </sheetViews>
  <sheetFormatPr defaultRowHeight="14.4" x14ac:dyDescent="0.3"/>
  <sheetData>
    <row r="2" spans="2:16" x14ac:dyDescent="0.3">
      <c r="B2" t="s">
        <v>0</v>
      </c>
      <c r="C2" t="s">
        <v>3</v>
      </c>
      <c r="H2" s="10" t="s">
        <v>7</v>
      </c>
      <c r="I2" s="11"/>
      <c r="J2" s="12" t="s">
        <v>8</v>
      </c>
      <c r="K2" s="12"/>
      <c r="L2" s="5">
        <v>4</v>
      </c>
    </row>
    <row r="3" spans="2:16" x14ac:dyDescent="0.3">
      <c r="J3" s="12" t="s">
        <v>9</v>
      </c>
      <c r="K3" s="12"/>
      <c r="L3" s="5">
        <v>5</v>
      </c>
      <c r="N3" t="s">
        <v>11</v>
      </c>
      <c r="P3" s="4" t="s">
        <v>12</v>
      </c>
    </row>
    <row r="4" spans="2:16" x14ac:dyDescent="0.3">
      <c r="B4" t="s">
        <v>1</v>
      </c>
      <c r="C4" t="s">
        <v>2</v>
      </c>
    </row>
    <row r="6" spans="2:16" x14ac:dyDescent="0.3">
      <c r="B6" s="1" t="s">
        <v>4</v>
      </c>
      <c r="C6" s="2"/>
      <c r="D6" s="2"/>
      <c r="E6" s="2"/>
      <c r="F6" s="2"/>
      <c r="G6" s="2"/>
      <c r="H6" s="2"/>
      <c r="I6" s="2"/>
      <c r="J6" s="2"/>
    </row>
    <row r="7" spans="2:16" x14ac:dyDescent="0.3">
      <c r="B7" s="1" t="s">
        <v>5</v>
      </c>
      <c r="C7" s="1">
        <v>200</v>
      </c>
      <c r="D7" s="1">
        <v>100</v>
      </c>
      <c r="E7" s="1">
        <v>50</v>
      </c>
      <c r="F7" s="1">
        <v>20</v>
      </c>
      <c r="G7" s="1">
        <v>10</v>
      </c>
      <c r="H7" s="1">
        <v>5</v>
      </c>
      <c r="I7" s="1">
        <v>2</v>
      </c>
      <c r="J7" s="1">
        <v>1</v>
      </c>
    </row>
    <row r="8" spans="2:16" x14ac:dyDescent="0.3">
      <c r="B8" s="1" t="s">
        <v>0</v>
      </c>
      <c r="C8" s="1">
        <f>C6/C7</f>
        <v>0</v>
      </c>
      <c r="D8" s="1">
        <f t="shared" ref="D8:J8" si="0">D6/D7</f>
        <v>0</v>
      </c>
      <c r="E8" s="1">
        <f t="shared" si="0"/>
        <v>0</v>
      </c>
      <c r="F8" s="1">
        <f t="shared" si="0"/>
        <v>0</v>
      </c>
      <c r="G8" s="1">
        <f t="shared" si="0"/>
        <v>0</v>
      </c>
      <c r="H8" s="1">
        <f t="shared" si="0"/>
        <v>0</v>
      </c>
      <c r="I8" s="1">
        <f t="shared" si="0"/>
        <v>0</v>
      </c>
      <c r="J8" s="1">
        <f t="shared" si="0"/>
        <v>0</v>
      </c>
    </row>
    <row r="10" spans="2:16" x14ac:dyDescent="0.3">
      <c r="I10" s="3" t="s">
        <v>6</v>
      </c>
      <c r="J10" s="3">
        <f>AVERAGE(C8:J8)</f>
        <v>0</v>
      </c>
    </row>
    <row r="13" spans="2:16" x14ac:dyDescent="0.3">
      <c r="B13" t="s">
        <v>10</v>
      </c>
    </row>
    <row r="15" spans="2:16" x14ac:dyDescent="0.3">
      <c r="B15" s="1" t="s">
        <v>4</v>
      </c>
      <c r="C15" s="2"/>
      <c r="D15" s="2"/>
      <c r="E15" s="2"/>
      <c r="F15" s="2"/>
      <c r="G15" s="2"/>
      <c r="H15" s="2"/>
      <c r="I15" s="2"/>
      <c r="J15" s="2"/>
    </row>
    <row r="16" spans="2:16" x14ac:dyDescent="0.3">
      <c r="B16" s="1" t="s">
        <v>5</v>
      </c>
      <c r="C16" s="1">
        <v>200</v>
      </c>
      <c r="D16" s="1">
        <v>100</v>
      </c>
      <c r="E16" s="1">
        <v>50</v>
      </c>
      <c r="F16" s="1">
        <v>20</v>
      </c>
      <c r="G16" s="1">
        <v>10</v>
      </c>
      <c r="H16" s="1">
        <v>5</v>
      </c>
      <c r="I16" s="1">
        <v>2</v>
      </c>
      <c r="J16" s="1">
        <v>1</v>
      </c>
    </row>
    <row r="17" spans="2:10" x14ac:dyDescent="0.3">
      <c r="B17" s="1" t="s">
        <v>0</v>
      </c>
      <c r="C17" s="1">
        <f>C15/C16</f>
        <v>0</v>
      </c>
      <c r="D17" s="1">
        <f t="shared" ref="D17" si="1">D15/D16</f>
        <v>0</v>
      </c>
      <c r="E17" s="1">
        <f t="shared" ref="E17" si="2">E15/E16</f>
        <v>0</v>
      </c>
      <c r="F17" s="1">
        <f t="shared" ref="F17" si="3">F15/F16</f>
        <v>0</v>
      </c>
      <c r="G17" s="1">
        <f t="shared" ref="G17" si="4">G15/G16</f>
        <v>0</v>
      </c>
      <c r="H17" s="1">
        <f t="shared" ref="H17" si="5">H15/H16</f>
        <v>0</v>
      </c>
      <c r="I17" s="1">
        <f t="shared" ref="I17" si="6">I15/I16</f>
        <v>0</v>
      </c>
      <c r="J17" s="1">
        <f t="shared" ref="J17" si="7">J15/J16</f>
        <v>0</v>
      </c>
    </row>
    <row r="19" spans="2:10" x14ac:dyDescent="0.3">
      <c r="I19" s="3" t="s">
        <v>6</v>
      </c>
      <c r="J19" s="3">
        <f>AVERAGE(C17:J17)</f>
        <v>0</v>
      </c>
    </row>
  </sheetData>
  <mergeCells count="3">
    <mergeCell ref="J2:K2"/>
    <mergeCell ref="J3:K3"/>
    <mergeCell ref="H2:I2"/>
  </mergeCells>
  <hyperlinks>
    <hyperlink ref="P3" r:id="rId1" xr:uid="{08E856F2-4E30-444E-800C-76D4FD47A294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C12D-1884-42E6-9FAD-8CE6F4F33F5D}">
  <dimension ref="C2:K12"/>
  <sheetViews>
    <sheetView workbookViewId="0">
      <selection activeCell="J4" sqref="J4"/>
    </sheetView>
  </sheetViews>
  <sheetFormatPr defaultRowHeight="14.4" x14ac:dyDescent="0.3"/>
  <sheetData>
    <row r="2" spans="3:11" x14ac:dyDescent="0.3">
      <c r="C2" s="18" t="s">
        <v>1</v>
      </c>
      <c r="H2" s="18" t="s">
        <v>10</v>
      </c>
      <c r="I2" s="14"/>
      <c r="J2" s="14"/>
    </row>
    <row r="3" spans="3:11" x14ac:dyDescent="0.3">
      <c r="H3" s="14"/>
      <c r="I3" s="14"/>
      <c r="J3" s="14"/>
    </row>
    <row r="4" spans="3:11" x14ac:dyDescent="0.3">
      <c r="C4" s="1" t="s">
        <v>24</v>
      </c>
      <c r="D4" s="1" t="s">
        <v>21</v>
      </c>
      <c r="E4" s="1" t="s">
        <v>22</v>
      </c>
      <c r="F4" s="26" t="s">
        <v>23</v>
      </c>
      <c r="H4" s="15" t="s">
        <v>24</v>
      </c>
      <c r="I4" s="15" t="s">
        <v>21</v>
      </c>
      <c r="J4" s="15" t="s">
        <v>22</v>
      </c>
      <c r="K4" s="26" t="s">
        <v>23</v>
      </c>
    </row>
    <row r="5" spans="3:11" x14ac:dyDescent="0.3">
      <c r="C5" s="1">
        <v>200</v>
      </c>
      <c r="D5" s="1">
        <v>198.3</v>
      </c>
      <c r="E5" s="1">
        <f>C5-D5</f>
        <v>1.6999999999999886</v>
      </c>
      <c r="F5" s="27">
        <f>E5/C5</f>
        <v>8.4999999999999434E-3</v>
      </c>
      <c r="H5" s="15">
        <v>200</v>
      </c>
      <c r="I5" s="15"/>
      <c r="J5" s="15">
        <f>H5-I5</f>
        <v>200</v>
      </c>
      <c r="K5" s="27">
        <f>J5/H5</f>
        <v>1</v>
      </c>
    </row>
    <row r="6" spans="3:11" x14ac:dyDescent="0.3">
      <c r="C6" s="1">
        <v>100</v>
      </c>
      <c r="D6" s="1">
        <v>99.1</v>
      </c>
      <c r="E6" s="1">
        <f t="shared" ref="E6:E12" si="0">C6-D6</f>
        <v>0.90000000000000568</v>
      </c>
      <c r="F6" s="27">
        <f t="shared" ref="F6:F12" si="1">E6/C6</f>
        <v>9.0000000000000566E-3</v>
      </c>
      <c r="H6" s="15">
        <v>100</v>
      </c>
      <c r="I6" s="15"/>
      <c r="J6" s="15">
        <f t="shared" ref="J6:J12" si="2">H6-I6</f>
        <v>100</v>
      </c>
      <c r="K6" s="27">
        <f t="shared" ref="K6:K12" si="3">J6/H6</f>
        <v>1</v>
      </c>
    </row>
    <row r="7" spans="3:11" x14ac:dyDescent="0.3">
      <c r="C7" s="1">
        <v>50</v>
      </c>
      <c r="D7" s="1">
        <v>49.2</v>
      </c>
      <c r="E7" s="1">
        <f t="shared" si="0"/>
        <v>0.79999999999999716</v>
      </c>
      <c r="F7" s="27">
        <f t="shared" si="1"/>
        <v>1.5999999999999945E-2</v>
      </c>
      <c r="H7" s="15">
        <v>50</v>
      </c>
      <c r="I7" s="15"/>
      <c r="J7" s="15">
        <f t="shared" si="2"/>
        <v>50</v>
      </c>
      <c r="K7" s="27">
        <f t="shared" si="3"/>
        <v>1</v>
      </c>
    </row>
    <row r="8" spans="3:11" x14ac:dyDescent="0.3">
      <c r="C8" s="1">
        <v>20</v>
      </c>
      <c r="D8" s="1">
        <v>19.3</v>
      </c>
      <c r="E8" s="1">
        <f t="shared" si="0"/>
        <v>0.69999999999999929</v>
      </c>
      <c r="F8" s="27">
        <f t="shared" si="1"/>
        <v>3.4999999999999962E-2</v>
      </c>
      <c r="H8" s="15">
        <v>20</v>
      </c>
      <c r="I8" s="15"/>
      <c r="J8" s="15">
        <f t="shared" si="2"/>
        <v>20</v>
      </c>
      <c r="K8" s="27">
        <f t="shared" si="3"/>
        <v>1</v>
      </c>
    </row>
    <row r="9" spans="3:11" x14ac:dyDescent="0.3">
      <c r="C9" s="1">
        <v>10</v>
      </c>
      <c r="D9" s="1">
        <v>9.6999999999999993</v>
      </c>
      <c r="E9" s="1">
        <f t="shared" si="0"/>
        <v>0.30000000000000071</v>
      </c>
      <c r="F9" s="27">
        <f t="shared" si="1"/>
        <v>3.0000000000000072E-2</v>
      </c>
      <c r="H9" s="15">
        <v>10</v>
      </c>
      <c r="I9" s="15"/>
      <c r="J9" s="15">
        <f t="shared" si="2"/>
        <v>10</v>
      </c>
      <c r="K9" s="27">
        <f t="shared" si="3"/>
        <v>1</v>
      </c>
    </row>
    <row r="10" spans="3:11" x14ac:dyDescent="0.3">
      <c r="C10" s="1">
        <v>5</v>
      </c>
      <c r="D10" s="1">
        <v>4.7</v>
      </c>
      <c r="E10" s="1">
        <f t="shared" si="0"/>
        <v>0.29999999999999982</v>
      </c>
      <c r="F10" s="27">
        <f t="shared" si="1"/>
        <v>5.9999999999999963E-2</v>
      </c>
      <c r="H10" s="15">
        <v>5</v>
      </c>
      <c r="I10" s="15"/>
      <c r="J10" s="15">
        <f t="shared" si="2"/>
        <v>5</v>
      </c>
      <c r="K10" s="27">
        <f t="shared" si="3"/>
        <v>1</v>
      </c>
    </row>
    <row r="11" spans="3:11" x14ac:dyDescent="0.3">
      <c r="C11" s="1">
        <v>2</v>
      </c>
      <c r="D11" s="1">
        <v>1.7</v>
      </c>
      <c r="E11" s="1">
        <f t="shared" si="0"/>
        <v>0.30000000000000004</v>
      </c>
      <c r="F11" s="27">
        <f t="shared" si="1"/>
        <v>0.15000000000000002</v>
      </c>
      <c r="H11" s="15">
        <v>2</v>
      </c>
      <c r="I11" s="15"/>
      <c r="J11" s="15">
        <f t="shared" si="2"/>
        <v>2</v>
      </c>
      <c r="K11" s="27">
        <f t="shared" si="3"/>
        <v>1</v>
      </c>
    </row>
    <row r="12" spans="3:11" x14ac:dyDescent="0.3">
      <c r="C12" s="1">
        <v>1</v>
      </c>
      <c r="D12" s="1">
        <v>0.5</v>
      </c>
      <c r="E12" s="1">
        <f t="shared" si="0"/>
        <v>0.5</v>
      </c>
      <c r="F12" s="27">
        <f t="shared" si="1"/>
        <v>0.5</v>
      </c>
      <c r="H12" s="15">
        <v>1</v>
      </c>
      <c r="I12" s="15"/>
      <c r="J12" s="15">
        <f t="shared" si="2"/>
        <v>1</v>
      </c>
      <c r="K12" s="27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OP1</vt:lpstr>
      <vt:lpstr>OP2</vt:lpstr>
      <vt:lpstr>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Agurto</dc:creator>
  <cp:lastModifiedBy>Rodrigo Agurto</cp:lastModifiedBy>
  <dcterms:created xsi:type="dcterms:W3CDTF">2024-08-04T20:07:14Z</dcterms:created>
  <dcterms:modified xsi:type="dcterms:W3CDTF">2024-08-06T04:43:57Z</dcterms:modified>
</cp:coreProperties>
</file>